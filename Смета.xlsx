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<sst xmlns="http://schemas.openxmlformats.org/spreadsheetml/2006/main" count="57" uniqueCount="43">
  <si>
    <t xml:space="preserve">Спецификация Робот-инспектор</t>
  </si>
  <si>
    <t xml:space="preserve">Примечание</t>
  </si>
  <si>
    <t xml:space="preserve">Наименование</t>
  </si>
  <si>
    <t xml:space="preserve">шт</t>
  </si>
  <si>
    <t xml:space="preserve">~ Стоимость шт. р.</t>
  </si>
  <si>
    <t xml:space="preserve">Rasbery Pi5</t>
  </si>
  <si>
    <t xml:space="preserve">rplidar s2</t>
  </si>
  <si>
    <t xml:space="preserve">Камера IMX477</t>
  </si>
  <si>
    <t xml:space="preserve">Объектив 120 градусов </t>
  </si>
  <si>
    <t xml:space="preserve">Объектив для детальной съемки</t>
  </si>
  <si>
    <t xml:space="preserve">АКБ Li-ion 6S 10Ач</t>
  </si>
  <si>
    <t xml:space="preserve">сборка ячеек 1850 6S3P</t>
  </si>
  <si>
    <t xml:space="preserve">Сервопривод</t>
  </si>
  <si>
    <t xml:space="preserve">MG996R </t>
  </si>
  <si>
    <t xml:space="preserve">Контроллер питания</t>
  </si>
  <si>
    <t xml:space="preserve">Задача контролера разделить силовое питание и питание логики</t>
  </si>
  <si>
    <t xml:space="preserve">Доп. датчики и п.р.</t>
  </si>
  <si>
    <t xml:space="preserve">IMU-сенсор</t>
  </si>
  <si>
    <t xml:space="preserve">Провода, разъемы и т.п.</t>
  </si>
  <si>
    <t xml:space="preserve">Датчики ультразвуковые MB1001-000</t>
  </si>
  <si>
    <t xml:space="preserve">Колесная платформа</t>
  </si>
  <si>
    <t xml:space="preserve">Электро двигатель</t>
  </si>
  <si>
    <t xml:space="preserve">Контроллер двигателя 4в1</t>
  </si>
  <si>
    <t xml:space="preserve">Корпус</t>
  </si>
  <si>
    <t xml:space="preserve">Резка алюминиевого/композитного листового материала (материал учтен)</t>
  </si>
  <si>
    <t xml:space="preserve">Колеса</t>
  </si>
  <si>
    <t xml:space="preserve">Фрезеровка литьевой формы, литье силикона/резины/вспененный полиуретан</t>
  </si>
  <si>
    <t xml:space="preserve">Итого</t>
  </si>
  <si>
    <t xml:space="preserve">Спецификация: Передвижная база для полу автоматической работы (сотрудник подкатывает тележку к состав, далее робот раюотает в автономном режиме)</t>
  </si>
  <si>
    <t xml:space="preserve">Тележка</t>
  </si>
  <si>
    <t xml:space="preserve">Каркас из проф трубы</t>
  </si>
  <si>
    <t xml:space="preserve">Обшивка тележки</t>
  </si>
  <si>
    <t xml:space="preserve">Резка листового материала (материал учтен)</t>
  </si>
  <si>
    <t xml:space="preserve">База робота с функцией зарядки</t>
  </si>
  <si>
    <t xml:space="preserve">Спецификация: Передвижная база для автоматической работы (тележка подъезжает к составу в автоматическом режиме)</t>
  </si>
  <si>
    <t xml:space="preserve">Мотор-колесо</t>
  </si>
  <si>
    <t xml:space="preserve">Контроллер двигателя</t>
  </si>
  <si>
    <t xml:space="preserve">База робота-инспектора с функцией зарядки</t>
  </si>
  <si>
    <t xml:space="preserve">Объектив</t>
  </si>
  <si>
    <t xml:space="preserve">АКБ Li-ion 10S3P 10Ач</t>
  </si>
  <si>
    <t xml:space="preserve">База тележки с функцией зарядки</t>
  </si>
  <si>
    <t xml:space="preserve">Разработка КД и сборка в смете не учтена, подразумевается реализация на мощностях ТМХ.</t>
  </si>
  <si>
    <t xml:space="preserve">Для работы робота инспектора дополнительно понадобится wifi в зоне работы/стоянки. Серверные мощности для пост обработки фото.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</si>
</sst>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theme="0" tint="-0.25"/>
        <bgColor rgb="FFD9D9D9"/>
      </patternFill>
    </fill>
    <fill>
      <patternFill patternType="solid">
        <fgColor theme="7" tint="0.5999"/>
        <bgColor rgb="FFFFF2CC"/>
      </patternFill>
    </fill>
    <fill>
      <patternFill patternType="solid">
        <fgColor theme="0" tint="-0.15"/>
        <bgColor rgb="FFBFBFBF"/>
      </patternFill>
    </fill>
    <fill>
      <patternFill patternType="solid">
        <fgColor theme="7" tint="0.7999"/>
        <bgColor rgb="FFFFE699"/>
      </patternFill>
    </fill>
    <fill>
      <patternFill patternType="solid">
        <fgColor theme="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27" colorId="64" zoomScale="145" zoomScaleNormal="145" zoomScalePageLayoutView="100" workbookViewId="0">
      <selection pane="topLeft" activeCell="B17" activeCellId="0" sqref="B17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3.56"/>
    <col collapsed="false" customWidth="true" hidden="false" outlineLevel="0" max="2" min="2" style="0" width="32.89"/>
    <col collapsed="false" customWidth="true" hidden="false" outlineLevel="0" max="3" min="3" style="0" width="3.44"/>
    <col collapsed="false" customWidth="true" hidden="false" outlineLevel="0" max="4" min="4" style="0" width="16.22"/>
    <col collapsed="false" customWidth="true" hidden="false" outlineLevel="0" max="6" min="6" style="0" width="73.89"/>
  </cols>
  <sheetData>
    <row r="1" s="2" customFormat="true" ht="14.25" hidden="false" customHeight="false" outlineLevel="0" collapsed="false">
      <c r="A1" s="2" t="s">
        <v>0</v>
      </c>
      <c r="F1" s="2" t="s">
        <v>1</v>
      </c>
    </row>
    <row r="2" s="1" customFormat="true" ht="14.25" hidden="false" customHeight="false" outlineLevel="0" collapsed="false">
      <c r="B2" s="1" t="s">
        <v>2</v>
      </c>
      <c r="C2" s="1" t="s">
        <v>3</v>
      </c>
      <c r="D2" s="1" t="s">
        <v>4</v>
      </c>
    </row>
    <row r="3" s="3" customFormat="true" ht="14.25" hidden="false" customHeight="false" outlineLevel="0" collapsed="false">
      <c r="A3" s="1" t="n">
        <v>1</v>
      </c>
      <c r="B3" s="3" t="s">
        <v>5</v>
      </c>
      <c r="C3" s="3" t="n">
        <v>1</v>
      </c>
      <c r="D3" s="3" t="n">
        <v>15000</v>
      </c>
      <c r="E3" s="3" t="n">
        <f aca="false">D3*C3</f>
        <v>15000</v>
      </c>
    </row>
    <row r="4" s="3" customFormat="true" ht="14.25" hidden="false" customHeight="false" outlineLevel="0" collapsed="false">
      <c r="A4" s="1" t="n">
        <v>2</v>
      </c>
      <c r="B4" s="3" t="s">
        <v>6</v>
      </c>
      <c r="C4" s="3" t="n">
        <v>1</v>
      </c>
      <c r="D4" s="3" t="n">
        <v>45000</v>
      </c>
      <c r="E4" s="3" t="n">
        <f aca="false">D4*C4</f>
        <v>45000</v>
      </c>
    </row>
    <row r="5" s="3" customFormat="true" ht="14.25" hidden="false" customHeight="false" outlineLevel="0" collapsed="false">
      <c r="A5" s="1" t="n">
        <v>3</v>
      </c>
      <c r="B5" s="3" t="s">
        <v>7</v>
      </c>
      <c r="C5" s="3" t="n">
        <v>2</v>
      </c>
      <c r="D5" s="3" t="n">
        <v>10000</v>
      </c>
      <c r="E5" s="3" t="n">
        <f aca="false">D5*C5</f>
        <v>20000</v>
      </c>
    </row>
    <row r="6" s="3" customFormat="true" ht="14.25" hidden="false" customHeight="false" outlineLevel="0" collapsed="false">
      <c r="A6" s="1"/>
      <c r="B6" s="3" t="s">
        <v>8</v>
      </c>
      <c r="C6" s="3" t="n">
        <v>1</v>
      </c>
      <c r="D6" s="3" t="n">
        <v>5000</v>
      </c>
      <c r="E6" s="3" t="n">
        <f aca="false">D6*C6</f>
        <v>5000</v>
      </c>
    </row>
    <row r="7" s="3" customFormat="true" ht="14.25" hidden="false" customHeight="false" outlineLevel="0" collapsed="false">
      <c r="A7" s="1"/>
      <c r="B7" s="3" t="s">
        <v>9</v>
      </c>
      <c r="C7" s="3" t="n">
        <v>1</v>
      </c>
      <c r="D7" s="3" t="n">
        <v>3000</v>
      </c>
      <c r="E7" s="3" t="n">
        <f aca="false">D7*C7</f>
        <v>3000</v>
      </c>
    </row>
    <row r="8" s="3" customFormat="true" ht="14.25" hidden="false" customHeight="false" outlineLevel="0" collapsed="false">
      <c r="A8" s="1" t="n">
        <v>4</v>
      </c>
      <c r="B8" s="3" t="s">
        <v>10</v>
      </c>
      <c r="C8" s="3" t="n">
        <v>1</v>
      </c>
      <c r="D8" s="3" t="n">
        <v>10000</v>
      </c>
      <c r="E8" s="3" t="n">
        <f aca="false">D8*C8</f>
        <v>10000</v>
      </c>
      <c r="F8" s="3" t="s">
        <v>11</v>
      </c>
    </row>
    <row r="9" s="3" customFormat="true" ht="14.25" hidden="false" customHeight="false" outlineLevel="0" collapsed="false">
      <c r="A9" s="1" t="n">
        <v>5</v>
      </c>
      <c r="B9" s="3" t="s">
        <v>12</v>
      </c>
      <c r="E9" s="3" t="n">
        <f aca="false">D9*C9</f>
        <v>0</v>
      </c>
    </row>
    <row r="10" customFormat="false" ht="14.25" hidden="false" customHeight="false" outlineLevel="0" collapsed="false">
      <c r="B10" s="0" t="s">
        <v>13</v>
      </c>
      <c r="C10" s="0" t="n">
        <v>5</v>
      </c>
      <c r="D10" s="0" t="n">
        <v>690</v>
      </c>
      <c r="E10" s="0" t="n">
        <f aca="false">D10*C10</f>
        <v>3450</v>
      </c>
    </row>
    <row r="11" customFormat="false" ht="14.25" hidden="false" customHeight="false" outlineLevel="0" collapsed="false">
      <c r="B11" s="0" t="s">
        <v>14</v>
      </c>
      <c r="C11" s="0" t="n">
        <v>1</v>
      </c>
      <c r="D11" s="0" t="n">
        <v>5000</v>
      </c>
      <c r="E11" s="0" t="n">
        <f aca="false">D11*C11</f>
        <v>5000</v>
      </c>
      <c r="F11" s="0" t="s">
        <v>15</v>
      </c>
    </row>
    <row r="12" s="3" customFormat="true" ht="14.25" hidden="false" customHeight="false" outlineLevel="0" collapsed="false">
      <c r="A12" s="1" t="n">
        <v>6</v>
      </c>
      <c r="B12" s="3" t="s">
        <v>16</v>
      </c>
      <c r="E12" s="3" t="n">
        <f aca="false">D12*C12</f>
        <v>0</v>
      </c>
    </row>
    <row r="13" customFormat="false" ht="14.25" hidden="false" customHeight="false" outlineLevel="0" collapsed="false">
      <c r="B13" s="0" t="s">
        <v>17</v>
      </c>
      <c r="C13" s="0" t="n">
        <v>1</v>
      </c>
      <c r="D13" s="0" t="n">
        <v>1000</v>
      </c>
      <c r="E13" s="0" t="n">
        <f aca="false">D13*C13</f>
        <v>1000</v>
      </c>
    </row>
    <row r="14" customFormat="false" ht="14.25" hidden="false" customHeight="false" outlineLevel="0" collapsed="false">
      <c r="B14" s="0" t="s">
        <v>18</v>
      </c>
      <c r="C14" s="0" t="n">
        <v>1</v>
      </c>
      <c r="D14" s="0" t="n">
        <v>10000</v>
      </c>
      <c r="E14" s="0" t="n">
        <f aca="false">D14*C14</f>
        <v>10000</v>
      </c>
    </row>
    <row r="15" customFormat="false" ht="14.25" hidden="false" customHeight="false" outlineLevel="0" collapsed="false">
      <c r="B15" s="0" t="s">
        <v>19</v>
      </c>
      <c r="C15" s="0" t="n">
        <v>4</v>
      </c>
      <c r="D15" s="0" t="n">
        <v>1580</v>
      </c>
      <c r="E15" s="0" t="n">
        <f aca="false">D15*C15</f>
        <v>6320</v>
      </c>
    </row>
    <row r="16" s="3" customFormat="true" ht="14.25" hidden="false" customHeight="false" outlineLevel="0" collapsed="false">
      <c r="A16" s="1" t="n">
        <v>7</v>
      </c>
      <c r="B16" s="4" t="s">
        <v>20</v>
      </c>
      <c r="C16" s="4"/>
      <c r="D16" s="4"/>
      <c r="E16" s="4" t="n">
        <f aca="false">D16*C16</f>
        <v>0</v>
      </c>
    </row>
    <row r="17" customFormat="false" ht="14.25" hidden="false" customHeight="false" outlineLevel="0" collapsed="false">
      <c r="B17" s="0" t="s">
        <v>21</v>
      </c>
      <c r="C17" s="0" t="n">
        <v>4</v>
      </c>
      <c r="D17" s="0" t="n">
        <v>2500</v>
      </c>
      <c r="E17" s="0" t="n">
        <f aca="false">D17*C17</f>
        <v>10000</v>
      </c>
    </row>
    <row r="18" customFormat="false" ht="14.25" hidden="false" customHeight="false" outlineLevel="0" collapsed="false">
      <c r="B18" s="0" t="s">
        <v>22</v>
      </c>
      <c r="C18" s="0" t="n">
        <v>1</v>
      </c>
      <c r="D18" s="0" t="n">
        <v>10000</v>
      </c>
      <c r="E18" s="0" t="n">
        <f aca="false">D18*C18</f>
        <v>10000</v>
      </c>
    </row>
    <row r="19" customFormat="false" ht="14.25" hidden="false" customHeight="false" outlineLevel="0" collapsed="false">
      <c r="B19" s="0" t="s">
        <v>23</v>
      </c>
      <c r="C19" s="0" t="n">
        <v>1</v>
      </c>
      <c r="D19" s="0" t="n">
        <v>30000</v>
      </c>
      <c r="E19" s="0" t="n">
        <f aca="false">D19*C19</f>
        <v>30000</v>
      </c>
      <c r="F19" s="0" t="s">
        <v>24</v>
      </c>
    </row>
    <row r="20" customFormat="false" ht="14.25" hidden="false" customHeight="false" outlineLevel="0" collapsed="false">
      <c r="B20" s="0" t="s">
        <v>25</v>
      </c>
      <c r="C20" s="0" t="n">
        <v>4</v>
      </c>
      <c r="E20" s="0" t="n">
        <v>20000</v>
      </c>
      <c r="F20" s="0" t="s">
        <v>26</v>
      </c>
    </row>
    <row r="21" customFormat="false" ht="14.25" hidden="false" customHeight="false" outlineLevel="0" collapsed="false">
      <c r="D21" s="5" t="s">
        <v>27</v>
      </c>
      <c r="E21" s="5" t="n">
        <f aca="false">SUM(E3:E20)</f>
        <v>193770</v>
      </c>
    </row>
    <row r="22" s="2" customFormat="true" ht="14.25" hidden="false" customHeight="false" outlineLevel="0" collapsed="false">
      <c r="A22" s="2" t="s">
        <v>28</v>
      </c>
    </row>
    <row r="23" customFormat="false" ht="14.25" hidden="false" customHeight="false" outlineLevel="0" collapsed="false">
      <c r="A23" s="1" t="n">
        <v>1</v>
      </c>
      <c r="B23" s="0" t="s">
        <v>29</v>
      </c>
    </row>
    <row r="24" customFormat="false" ht="14.25" hidden="false" customHeight="false" outlineLevel="0" collapsed="false">
      <c r="B24" s="0" t="s">
        <v>30</v>
      </c>
      <c r="C24" s="0" t="n">
        <v>1</v>
      </c>
      <c r="D24" s="0" t="n">
        <v>10000</v>
      </c>
      <c r="E24" s="0" t="n">
        <f aca="false">C24*D24</f>
        <v>10000</v>
      </c>
    </row>
    <row r="25" customFormat="false" ht="14.25" hidden="false" customHeight="false" outlineLevel="0" collapsed="false">
      <c r="B25" s="0" t="s">
        <v>31</v>
      </c>
      <c r="C25" s="0" t="n">
        <v>1</v>
      </c>
      <c r="D25" s="0" t="n">
        <v>10000</v>
      </c>
      <c r="E25" s="0" t="n">
        <f aca="false">C25*D25</f>
        <v>10000</v>
      </c>
      <c r="F25" s="0" t="s">
        <v>32</v>
      </c>
    </row>
    <row r="26" customFormat="false" ht="14.25" hidden="false" customHeight="false" outlineLevel="0" collapsed="false">
      <c r="B26" s="0" t="s">
        <v>33</v>
      </c>
      <c r="C26" s="0" t="n">
        <v>1</v>
      </c>
      <c r="D26" s="0" t="n">
        <v>10000</v>
      </c>
      <c r="E26" s="0" t="n">
        <f aca="false">C26*D26</f>
        <v>10000</v>
      </c>
    </row>
    <row r="27" customFormat="false" ht="14.25" hidden="false" customHeight="false" outlineLevel="0" collapsed="false">
      <c r="D27" s="5" t="s">
        <v>27</v>
      </c>
      <c r="E27" s="5" t="n">
        <f aca="false">SUM(E23:E26)</f>
        <v>30000</v>
      </c>
    </row>
    <row r="28" s="2" customFormat="true" ht="14.25" hidden="false" customHeight="false" outlineLevel="0" collapsed="false">
      <c r="A28" s="2" t="s">
        <v>34</v>
      </c>
    </row>
    <row r="29" s="3" customFormat="true" ht="14.25" hidden="false" customHeight="false" outlineLevel="0" collapsed="false">
      <c r="A29" s="1" t="n">
        <v>1</v>
      </c>
      <c r="B29" s="3" t="s">
        <v>29</v>
      </c>
    </row>
    <row r="30" customFormat="false" ht="14.25" hidden="false" customHeight="false" outlineLevel="0" collapsed="false">
      <c r="B30" s="0" t="s">
        <v>30</v>
      </c>
      <c r="C30" s="0" t="n">
        <v>1</v>
      </c>
      <c r="D30" s="0" t="n">
        <v>10000</v>
      </c>
      <c r="E30" s="0" t="n">
        <f aca="false">C30*D30</f>
        <v>10000</v>
      </c>
    </row>
    <row r="31" customFormat="false" ht="14.25" hidden="false" customHeight="false" outlineLevel="0" collapsed="false">
      <c r="B31" s="0" t="s">
        <v>31</v>
      </c>
      <c r="C31" s="0" t="n">
        <v>1</v>
      </c>
      <c r="D31" s="0" t="n">
        <v>10000</v>
      </c>
      <c r="E31" s="0" t="n">
        <f aca="false">C31*D31</f>
        <v>10000</v>
      </c>
    </row>
    <row r="32" customFormat="false" ht="14.25" hidden="false" customHeight="false" outlineLevel="0" collapsed="false">
      <c r="B32" s="0" t="s">
        <v>33</v>
      </c>
      <c r="C32" s="0" t="n">
        <v>1</v>
      </c>
      <c r="D32" s="0" t="n">
        <v>10000</v>
      </c>
      <c r="E32" s="0" t="n">
        <f aca="false">C32*D32</f>
        <v>10000</v>
      </c>
    </row>
    <row r="33" customFormat="false" ht="14.25" hidden="false" customHeight="false" outlineLevel="0" collapsed="false">
      <c r="B33" s="0" t="s">
        <v>35</v>
      </c>
      <c r="C33" s="6" t="n">
        <v>4</v>
      </c>
      <c r="D33" s="6" t="n">
        <v>4000</v>
      </c>
      <c r="E33" s="0" t="n">
        <f aca="false">C33*D33</f>
        <v>16000</v>
      </c>
    </row>
    <row r="34" customFormat="false" ht="14.25" hidden="false" customHeight="false" outlineLevel="0" collapsed="false">
      <c r="B34" s="0" t="s">
        <v>36</v>
      </c>
      <c r="C34" s="6" t="n">
        <v>4</v>
      </c>
      <c r="D34" s="6" t="n">
        <v>2000</v>
      </c>
      <c r="E34" s="0" t="n">
        <f aca="false">C34*D34</f>
        <v>8000</v>
      </c>
    </row>
    <row r="35" customFormat="false" ht="14.25" hidden="false" customHeight="false" outlineLevel="0" collapsed="false">
      <c r="B35" s="0" t="s">
        <v>37</v>
      </c>
      <c r="C35" s="0" t="n">
        <v>1</v>
      </c>
      <c r="D35" s="0" t="n">
        <v>10000</v>
      </c>
      <c r="E35" s="0" t="n">
        <f aca="false">C35*D35</f>
        <v>10000</v>
      </c>
    </row>
    <row r="36" s="3" customFormat="true" ht="14.25" hidden="false" customHeight="false" outlineLevel="0" collapsed="false">
      <c r="A36" s="1" t="n">
        <v>2</v>
      </c>
      <c r="B36" s="3" t="s">
        <v>5</v>
      </c>
      <c r="C36" s="3" t="n">
        <v>1</v>
      </c>
      <c r="D36" s="3" t="n">
        <v>15000</v>
      </c>
      <c r="E36" s="3" t="n">
        <f aca="false">C36*D36</f>
        <v>15000</v>
      </c>
    </row>
    <row r="37" s="3" customFormat="true" ht="14.25" hidden="false" customHeight="false" outlineLevel="0" collapsed="false">
      <c r="A37" s="1" t="n">
        <v>3</v>
      </c>
      <c r="B37" s="3" t="s">
        <v>6</v>
      </c>
      <c r="C37" s="3" t="n">
        <v>1</v>
      </c>
      <c r="D37" s="3" t="n">
        <v>45000</v>
      </c>
      <c r="E37" s="3" t="n">
        <f aca="false">C37*D37</f>
        <v>45000</v>
      </c>
    </row>
    <row r="38" s="3" customFormat="true" ht="14.25" hidden="false" customHeight="false" outlineLevel="0" collapsed="false">
      <c r="A38" s="1" t="n">
        <v>4</v>
      </c>
      <c r="B38" s="3" t="s">
        <v>7</v>
      </c>
      <c r="C38" s="3" t="n">
        <v>3</v>
      </c>
      <c r="D38" s="3" t="n">
        <v>10000</v>
      </c>
      <c r="E38" s="3" t="n">
        <f aca="false">C38*D38</f>
        <v>30000</v>
      </c>
    </row>
    <row r="39" customFormat="false" ht="14.25" hidden="false" customHeight="false" outlineLevel="0" collapsed="false">
      <c r="B39" s="6" t="s">
        <v>38</v>
      </c>
      <c r="C39" s="6" t="n">
        <v>3</v>
      </c>
      <c r="D39" s="6" t="n">
        <v>3000</v>
      </c>
      <c r="E39" s="0" t="n">
        <f aca="false">C39*D39</f>
        <v>9000</v>
      </c>
    </row>
    <row r="40" s="3" customFormat="true" ht="14.25" hidden="false" customHeight="false" outlineLevel="0" collapsed="false">
      <c r="A40" s="1" t="n">
        <v>5</v>
      </c>
      <c r="B40" s="3" t="s">
        <v>39</v>
      </c>
      <c r="C40" s="3" t="n">
        <v>1</v>
      </c>
      <c r="D40" s="3" t="n">
        <v>15000</v>
      </c>
      <c r="E40" s="3" t="n">
        <f aca="false">C40*D40</f>
        <v>15000</v>
      </c>
    </row>
    <row r="41" s="3" customFormat="true" ht="14.25" hidden="false" customHeight="false" outlineLevel="0" collapsed="false">
      <c r="A41" s="1" t="n">
        <v>6</v>
      </c>
      <c r="B41" s="3" t="s">
        <v>37</v>
      </c>
      <c r="C41" s="3" t="n">
        <v>1</v>
      </c>
      <c r="D41" s="3" t="n">
        <v>10000</v>
      </c>
      <c r="E41" s="3" t="n">
        <f aca="false">C41*D41</f>
        <v>10000</v>
      </c>
    </row>
    <row r="42" s="3" customFormat="true" ht="14.25" hidden="false" customHeight="false" outlineLevel="0" collapsed="false">
      <c r="A42" s="1" t="n">
        <v>7</v>
      </c>
      <c r="B42" s="3" t="s">
        <v>16</v>
      </c>
      <c r="E42" s="3" t="n">
        <f aca="false">D42*C42</f>
        <v>0</v>
      </c>
    </row>
    <row r="43" customFormat="false" ht="14.25" hidden="false" customHeight="false" outlineLevel="0" collapsed="false">
      <c r="B43" s="0" t="s">
        <v>17</v>
      </c>
      <c r="C43" s="0" t="n">
        <v>1</v>
      </c>
      <c r="D43" s="0" t="n">
        <v>1000</v>
      </c>
      <c r="E43" s="0" t="n">
        <f aca="false">D43*C43</f>
        <v>1000</v>
      </c>
    </row>
    <row r="44" customFormat="false" ht="14.25" hidden="false" customHeight="false" outlineLevel="0" collapsed="false">
      <c r="B44" s="0" t="s">
        <v>18</v>
      </c>
      <c r="C44" s="0" t="n">
        <v>1</v>
      </c>
      <c r="D44" s="0" t="n">
        <v>10000</v>
      </c>
      <c r="E44" s="0" t="n">
        <f aca="false">D44*C44</f>
        <v>10000</v>
      </c>
    </row>
    <row r="45" customFormat="false" ht="14.25" hidden="false" customHeight="false" outlineLevel="0" collapsed="false">
      <c r="B45" s="0" t="s">
        <v>19</v>
      </c>
      <c r="C45" s="0" t="n">
        <v>8</v>
      </c>
      <c r="D45" s="0" t="n">
        <v>1580</v>
      </c>
      <c r="E45" s="0" t="n">
        <f aca="false">D45*C45</f>
        <v>12640</v>
      </c>
    </row>
    <row r="46" s="3" customFormat="true" ht="14.25" hidden="false" customHeight="false" outlineLevel="0" collapsed="false">
      <c r="A46" s="3" t="n">
        <v>8</v>
      </c>
      <c r="B46" s="3" t="s">
        <v>40</v>
      </c>
      <c r="C46" s="3" t="n">
        <v>1</v>
      </c>
      <c r="D46" s="3" t="n">
        <v>10000</v>
      </c>
      <c r="E46" s="3" t="n">
        <f aca="false">C46*D46</f>
        <v>10000</v>
      </c>
    </row>
    <row r="47" customFormat="false" ht="14.25" hidden="false" customHeight="false" outlineLevel="0" collapsed="false">
      <c r="D47" s="5" t="s">
        <v>27</v>
      </c>
      <c r="E47" s="5" t="n">
        <f aca="false">SUM(E29:E46)</f>
        <v>221640</v>
      </c>
    </row>
    <row r="48" customFormat="false" ht="14.25" hidden="false" customHeight="false" outlineLevel="0" collapsed="false">
      <c r="D48" s="7"/>
      <c r="E48" s="7"/>
      <c r="F48" s="7"/>
    </row>
    <row r="49" customFormat="false" ht="14.25" hidden="false" customHeight="false" outlineLevel="0" collapsed="false">
      <c r="D49" s="7"/>
      <c r="E49" s="7"/>
      <c r="F49" s="7"/>
    </row>
    <row r="50" customFormat="false" ht="14.25" hidden="false" customHeight="false" outlineLevel="0" collapsed="false">
      <c r="B50" s="0" t="s">
        <v>41</v>
      </c>
    </row>
    <row r="51" customFormat="false" ht="14.25" hidden="false" customHeight="false" outlineLevel="0" collapsed="false">
      <c r="B51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2026-02-18T08:43:13Z</dcterms:created>
  <dc:creator>Иван Воронин</dc:creator>
  <dc:description/>
  <dc:language>ru-RU</dc:language>
  <cp:lastModifiedBy/>
  <dcterms:modified xsi:type="dcterms:W3CDTF">2026-02-18T13:08:01Z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